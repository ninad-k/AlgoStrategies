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PositionSizing" sheetId="3" state="visible" r:id="rId3"/>
    <sheet xmlns:r="http://schemas.openxmlformats.org/officeDocument/2006/relationships" name="SessionHours" sheetId="4" state="visible" r:id="rId4"/>
    <sheet xmlns:r="http://schemas.openxmlformats.org/officeDocument/2006/relationships" name="CostModel" sheetId="5" state="visible" r:id="rId5"/>
    <sheet xmlns:r="http://schemas.openxmlformats.org/officeDocument/2006/relationships" name="Backtest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i val="1"/>
      <color rgb="00C0000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0267A"/>
      </patternFill>
    </fill>
    <fill>
      <patternFill patternType="solid">
        <fgColor rgb="003457C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DE7E9"/>
      </patternFill>
    </fill>
    <fill>
      <patternFill patternType="solid">
        <fgColor rgb="001E3FAE"/>
      </patternFill>
    </fill>
    <fill>
      <patternFill patternType="solid">
        <fgColor rgb="00E4EAFB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4" fontId="4" fillId="9" borderId="1" applyAlignment="1" pivotButton="0" quotePrefix="0" xfId="0">
      <alignment horizontal="center" vertical="center" wrapText="1"/>
    </xf>
    <xf numFmtId="10" fontId="4" fillId="9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3" borderId="0" pivotButton="0" quotePrefix="0" xfId="0"/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3" fontId="2" fillId="10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166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 ht="22" customHeight="1">
      <c r="A4" s="2" t="inlineStr">
        <is>
          <t>CFD STRATEGY PARAMETERS — DHRUVA Automation Intake</t>
        </is>
      </c>
    </row>
    <row r="5" ht="22" customHeight="1"/>
    <row r="6" ht="22" customHeight="1">
      <c r="A6" s="3" t="inlineStr">
        <is>
          <t>Strategy Name</t>
        </is>
      </c>
      <c r="B6" s="4" t="inlineStr">
        <is>
          <t>EMA 9-21 Crossover (FX &amp; Indices)</t>
        </is>
      </c>
    </row>
    <row r="7" ht="22" customHeight="1">
      <c r="A7" s="3" t="inlineStr">
        <is>
          <t>Strategy Code</t>
        </is>
      </c>
      <c r="B7" s="4" t="inlineStr">
        <is>
          <t>CFD_EMA_9_21_v1</t>
        </is>
      </c>
    </row>
    <row r="8" ht="22" customHeight="1">
      <c r="A8" s="3" t="inlineStr">
        <is>
          <t>Version</t>
        </is>
      </c>
      <c r="B8" s="4" t="inlineStr">
        <is>
          <t>1.0</t>
        </is>
      </c>
    </row>
    <row r="9" ht="22" customHeight="1">
      <c r="A9" s="3" t="inlineStr">
        <is>
          <t>Author / PM</t>
        </is>
      </c>
      <c r="B9" s="4" t="inlineStr">
        <is>
          <t>Ninad Kulkarni</t>
        </is>
      </c>
    </row>
    <row r="10" ht="22" customHeight="1">
      <c r="A10" s="3" t="inlineStr">
        <is>
          <t>Desk</t>
        </is>
      </c>
      <c r="B10" s="4" t="inlineStr">
        <is>
          <t>Systematic FX Desk</t>
        </is>
      </c>
    </row>
    <row r="11" ht="22" customHeight="1">
      <c r="A11" s="3" t="inlineStr">
        <is>
          <t>Submission Date</t>
        </is>
      </c>
      <c r="B11" s="4" t="inlineStr">
        <is>
          <t>2026-04-20</t>
        </is>
      </c>
    </row>
    <row r="12" ht="22" customHeight="1">
      <c r="A12" s="3" t="inlineStr">
        <is>
          <t>Base Currency</t>
        </is>
      </c>
      <c r="B12" s="4" t="inlineStr">
        <is>
          <t>USD</t>
        </is>
      </c>
    </row>
    <row r="13" ht="22" customHeight="1">
      <c r="A13" s="3" t="inlineStr">
        <is>
          <t>Direction</t>
        </is>
      </c>
      <c r="B13" s="4" t="inlineStr">
        <is>
          <t>Both</t>
        </is>
      </c>
    </row>
    <row r="14" ht="22" customHeight="1">
      <c r="A14" s="3" t="inlineStr">
        <is>
          <t>Primary Timeframe</t>
        </is>
      </c>
      <c r="B14" s="4" t="inlineStr">
        <is>
          <t>H1</t>
        </is>
      </c>
    </row>
    <row r="15">
      <c r="A15" s="3" t="inlineStr">
        <is>
          <t>Strategy Category</t>
        </is>
      </c>
      <c r="B15" s="4" t="inlineStr">
        <is>
          <t>Trend-Following</t>
        </is>
      </c>
    </row>
    <row r="16">
      <c r="A16" s="3" t="inlineStr">
        <is>
          <t>Companion Word Doc</t>
        </is>
      </c>
      <c r="B16" s="4" t="inlineStr">
        <is>
          <t>CFD_Strategy_Template_SAMPLE_EMA_9_21.docx</t>
        </is>
      </c>
    </row>
    <row r="17">
      <c r="A17" s="3" t="inlineStr">
        <is>
          <t>Status</t>
        </is>
      </c>
      <c r="B17" s="4" t="inlineStr">
        <is>
          <t>DRAFT — Pending Sign-off</t>
        </is>
      </c>
    </row>
    <row r="18"/>
    <row r="19"/>
    <row r="20">
      <c r="A20" s="5" t="inlineStr">
        <is>
          <t>LEGEND</t>
        </is>
      </c>
    </row>
    <row r="21">
      <c r="A21" s="6" t="inlineStr">
        <is>
          <t>Yellow = user input</t>
        </is>
      </c>
    </row>
    <row r="22">
      <c r="A22" s="7" t="inlineStr">
        <is>
          <t>Green  = completed / sample</t>
        </is>
      </c>
    </row>
    <row r="23">
      <c r="A23" s="8" t="inlineStr">
        <is>
          <t>Blue   = dropdown field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dataValidations count="4">
    <dataValidation sqref="B9" showDropDown="0" showInputMessage="0" showErrorMessage="0" allowBlank="1" errorTitle="Invalid entry" error="Please pick a value from the dropdown" type="list">
      <formula1>"USD,EUR,GBP,JPY,INR,AUD,CAD,CHF"</formula1>
    </dataValidation>
    <dataValidation sqref="B10" showDropDown="0" showInputMessage="0" showErrorMessage="0" allowBlank="1" errorTitle="Invalid entry" error="Please pick a value from the dropdown" type="list">
      <formula1>"Long Only,Short Only,Both"</formula1>
    </dataValidation>
    <dataValidation sqref="B11" showDropDown="0" showInputMessage="0" showErrorMessage="0" allowBlank="1" errorTitle="Invalid entry" error="Please pick a value from the dropdown" type="list">
      <formula1>"Tick,M1,M5,M15,M30,H1,H4,D1,W1"</formula1>
    </dataValidation>
    <dataValidation sqref="B12" showDropDown="0" showInputMessage="0" showErrorMessage="0" allowBlank="1" errorTitle="Invalid entry" error="Please pick a value from the dropdown" type="list">
      <formula1>"Trend-Following,Mean-Reversion,Breakout,Arbitrage,Event-Driven,Market-Making,Scalping,Carry"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2" customWidth="1" min="10" max="10"/>
    <col width="18" customWidth="1" min="11" max="11"/>
    <col width="30" customWidth="1" min="12" max="12"/>
    <col width="10" customWidth="1" min="13" max="13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INSTRUMENT UNIVERSE</t>
        </is>
      </c>
    </row>
    <row r="5">
      <c r="A5" s="9" t="inlineStr">
        <is>
          <t>Symbol</t>
        </is>
      </c>
      <c r="B5" s="9" t="inlineStr">
        <is>
          <t>Asset Class</t>
        </is>
      </c>
      <c r="C5" s="9" t="inlineStr">
        <is>
          <t>Description</t>
        </is>
      </c>
      <c r="D5" s="9" t="inlineStr">
        <is>
          <t>Contract Size</t>
        </is>
      </c>
      <c r="E5" s="9" t="inlineStr">
        <is>
          <t>Pip Value (USD)</t>
        </is>
      </c>
      <c r="F5" s="9" t="inlineStr">
        <is>
          <t>Min Spread (pips)</t>
        </is>
      </c>
      <c r="G5" s="9" t="inlineStr">
        <is>
          <t>Typical Spread (pips)</t>
        </is>
      </c>
      <c r="H5" s="9" t="inlineStr">
        <is>
          <t>Swap Long (pts)</t>
        </is>
      </c>
      <c r="I5" s="9" t="inlineStr">
        <is>
          <t>Swap Short (pts)</t>
        </is>
      </c>
      <c r="J5" s="9" t="inlineStr">
        <is>
          <t>Margin %</t>
        </is>
      </c>
      <c r="K5" s="9" t="inlineStr">
        <is>
          <t>Commission (USD/lot)</t>
        </is>
      </c>
      <c r="L5" s="9" t="inlineStr">
        <is>
          <t>Trading Hours (GMT)</t>
        </is>
      </c>
      <c r="M5" s="9" t="inlineStr">
        <is>
          <t>Active?</t>
        </is>
      </c>
    </row>
    <row r="6">
      <c r="A6" s="10" t="inlineStr">
        <is>
          <t>EURUSD</t>
        </is>
      </c>
      <c r="B6" s="11" t="inlineStr">
        <is>
          <t>FX Major</t>
        </is>
      </c>
      <c r="C6" s="11" t="inlineStr">
        <is>
          <t>Euro vs US Dollar</t>
        </is>
      </c>
      <c r="D6" s="12" t="n">
        <v>100000</v>
      </c>
      <c r="E6" s="13" t="n">
        <v>10</v>
      </c>
      <c r="F6" s="13" t="n">
        <v>0.1</v>
      </c>
      <c r="G6" s="13" t="n">
        <v>0.8</v>
      </c>
      <c r="H6" s="13" t="n">
        <v>-3.5</v>
      </c>
      <c r="I6" s="13" t="n">
        <v>0.5</v>
      </c>
      <c r="J6" s="14" t="n">
        <v>3.33</v>
      </c>
      <c r="K6" s="13" t="n">
        <v>3.5</v>
      </c>
      <c r="L6" s="11" t="inlineStr">
        <is>
          <t>22:00-22:00</t>
        </is>
      </c>
      <c r="M6" s="11" t="inlineStr">
        <is>
          <t>Yes</t>
        </is>
      </c>
    </row>
    <row r="7">
      <c r="A7" s="15" t="inlineStr">
        <is>
          <t>GBPUSD</t>
        </is>
      </c>
      <c r="B7" s="16" t="inlineStr">
        <is>
          <t>FX Major</t>
        </is>
      </c>
      <c r="C7" s="16" t="inlineStr">
        <is>
          <t>Pound vs US Dollar</t>
        </is>
      </c>
      <c r="D7" s="17" t="n">
        <v>100000</v>
      </c>
      <c r="E7" s="18" t="n">
        <v>10</v>
      </c>
      <c r="F7" s="18" t="n">
        <v>0.3</v>
      </c>
      <c r="G7" s="18" t="n">
        <v>1.2</v>
      </c>
      <c r="H7" s="18" t="n">
        <v>-4.8</v>
      </c>
      <c r="I7" s="18" t="n">
        <v>1.2</v>
      </c>
      <c r="J7" s="19" t="n">
        <v>3.33</v>
      </c>
      <c r="K7" s="18" t="n">
        <v>3.5</v>
      </c>
      <c r="L7" s="16" t="inlineStr">
        <is>
          <t>22:00-22:00</t>
        </is>
      </c>
      <c r="M7" s="16" t="inlineStr">
        <is>
          <t>Yes</t>
        </is>
      </c>
    </row>
    <row r="8">
      <c r="A8" s="10" t="inlineStr">
        <is>
          <t>USDJPY</t>
        </is>
      </c>
      <c r="B8" s="11" t="inlineStr">
        <is>
          <t>FX Major</t>
        </is>
      </c>
      <c r="C8" s="11" t="inlineStr">
        <is>
          <t>US Dollar vs Yen</t>
        </is>
      </c>
      <c r="D8" s="12" t="n">
        <v>100000</v>
      </c>
      <c r="E8" s="13" t="n">
        <v>9.1</v>
      </c>
      <c r="F8" s="13" t="n">
        <v>0.2</v>
      </c>
      <c r="G8" s="13" t="n">
        <v>1</v>
      </c>
      <c r="H8" s="13" t="n">
        <v>-2.1</v>
      </c>
      <c r="I8" s="13" t="n">
        <v>-3</v>
      </c>
      <c r="J8" s="14" t="n">
        <v>3.33</v>
      </c>
      <c r="K8" s="13" t="n">
        <v>3.5</v>
      </c>
      <c r="L8" s="11" t="inlineStr">
        <is>
          <t>22:00-22:00</t>
        </is>
      </c>
      <c r="M8" s="11" t="inlineStr">
        <is>
          <t>Yes</t>
        </is>
      </c>
    </row>
    <row r="9">
      <c r="A9" s="15" t="inlineStr">
        <is>
          <t>XAUUSD</t>
        </is>
      </c>
      <c r="B9" s="16" t="inlineStr">
        <is>
          <t>Commodity CFD</t>
        </is>
      </c>
      <c r="C9" s="16" t="inlineStr">
        <is>
          <t>Gold vs US Dollar</t>
        </is>
      </c>
      <c r="D9" s="17" t="n">
        <v>100</v>
      </c>
      <c r="E9" s="18" t="n">
        <v>1</v>
      </c>
      <c r="F9" s="18" t="n">
        <v>1.5</v>
      </c>
      <c r="G9" s="18" t="n">
        <v>3</v>
      </c>
      <c r="H9" s="18" t="n">
        <v>-8.5</v>
      </c>
      <c r="I9" s="18" t="n">
        <v>-2.5</v>
      </c>
      <c r="J9" s="19" t="n">
        <v>5</v>
      </c>
      <c r="K9" s="18" t="n">
        <v>6</v>
      </c>
      <c r="L9" s="16" t="inlineStr">
        <is>
          <t>22:01-20:59</t>
        </is>
      </c>
      <c r="M9" s="16" t="inlineStr">
        <is>
          <t>Yes</t>
        </is>
      </c>
    </row>
    <row r="10">
      <c r="A10" s="10" t="inlineStr">
        <is>
          <t>US30</t>
        </is>
      </c>
      <c r="B10" s="11" t="inlineStr">
        <is>
          <t>Index CFD</t>
        </is>
      </c>
      <c r="C10" s="11" t="inlineStr">
        <is>
          <t>Dow Jones 30</t>
        </is>
      </c>
      <c r="D10" s="12" t="n">
        <v>1</v>
      </c>
      <c r="E10" s="13" t="n">
        <v>1</v>
      </c>
      <c r="F10" s="13" t="n">
        <v>1</v>
      </c>
      <c r="G10" s="13" t="n">
        <v>2.5</v>
      </c>
      <c r="H10" s="13" t="n">
        <v>-1.2</v>
      </c>
      <c r="I10" s="13" t="n">
        <v>-1.8</v>
      </c>
      <c r="J10" s="14" t="n">
        <v>2</v>
      </c>
      <c r="K10" s="13" t="n">
        <v>0</v>
      </c>
      <c r="L10" s="11" t="inlineStr">
        <is>
          <t>22:01-20:59 (break 21:00-22:00)</t>
        </is>
      </c>
      <c r="M10" s="11" t="inlineStr">
        <is>
          <t>Yes</t>
        </is>
      </c>
    </row>
    <row r="11">
      <c r="A11" s="15" t="inlineStr">
        <is>
          <t>GER40</t>
        </is>
      </c>
      <c r="B11" s="16" t="inlineStr">
        <is>
          <t>Index CFD</t>
        </is>
      </c>
      <c r="C11" s="16" t="inlineStr">
        <is>
          <t>DAX 40</t>
        </is>
      </c>
      <c r="D11" s="17" t="n">
        <v>1</v>
      </c>
      <c r="E11" s="18" t="n">
        <v>1</v>
      </c>
      <c r="F11" s="18" t="n">
        <v>0.8</v>
      </c>
      <c r="G11" s="18" t="n">
        <v>1.8</v>
      </c>
      <c r="H11" s="18" t="n">
        <v>-0.9</v>
      </c>
      <c r="I11" s="18" t="n">
        <v>-1.5</v>
      </c>
      <c r="J11" s="19" t="n">
        <v>2</v>
      </c>
      <c r="K11" s="18" t="n">
        <v>0</v>
      </c>
      <c r="L11" s="16" t="inlineStr">
        <is>
          <t>06:15-20:00</t>
        </is>
      </c>
      <c r="M11" s="16" t="inlineStr">
        <is>
          <t>Yes</t>
        </is>
      </c>
    </row>
    <row r="12">
      <c r="A12" s="10" t="inlineStr">
        <is>
          <t>BTCUSD</t>
        </is>
      </c>
      <c r="B12" s="11" t="inlineStr">
        <is>
          <t>Crypto CFD</t>
        </is>
      </c>
      <c r="C12" s="11" t="inlineStr">
        <is>
          <t>Bitcoin vs USD</t>
        </is>
      </c>
      <c r="D12" s="12" t="n">
        <v>1</v>
      </c>
      <c r="E12" s="13" t="n">
        <v>1</v>
      </c>
      <c r="F12" s="13" t="n">
        <v>15</v>
      </c>
      <c r="G12" s="13" t="n">
        <v>35</v>
      </c>
      <c r="H12" s="13" t="n">
        <v>-15</v>
      </c>
      <c r="I12" s="13" t="n">
        <v>-15</v>
      </c>
      <c r="J12" s="14" t="n">
        <v>50</v>
      </c>
      <c r="K12" s="13" t="n">
        <v>0</v>
      </c>
      <c r="L12" s="11" t="inlineStr">
        <is>
          <t>24/7</t>
        </is>
      </c>
      <c r="M12" s="11" t="inlineStr">
        <is>
          <t>No</t>
        </is>
      </c>
    </row>
  </sheetData>
  <mergeCells count="2">
    <mergeCell ref="A2:M2"/>
    <mergeCell ref="A1:M1"/>
  </mergeCells>
  <dataValidations count="2">
    <dataValidation sqref="B3:B9" showDropDown="0" showInputMessage="0" showErrorMessage="0" allowBlank="1" errorTitle="Invalid entry" error="Please pick a value from the dropdown" type="list">
      <formula1>"FX Major,FX Minor,FX Exotic,Index CFD,Commodity CFD,Crypto CFD,Stock CFD,Bond CFD"</formula1>
    </dataValidation>
    <dataValidation sqref="M3:M9" showDropDown="0" showInputMessage="0" showErrorMessage="0" allowBlank="1" errorTitle="Invalid entry" error="Please pick a value from the dropdown" type="list">
      <formula1>"Yes,No"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POSITION SIZING &amp; RISK CALCULATOR</t>
        </is>
      </c>
    </row>
    <row r="5"/>
    <row r="6">
      <c r="A6" s="3" t="inlineStr">
        <is>
          <t>Account Equity (USD)</t>
        </is>
      </c>
      <c r="B6" s="20" t="n">
        <v>100000</v>
      </c>
    </row>
    <row r="7">
      <c r="A7" s="3" t="inlineStr">
        <is>
          <t>Risk per Trade (%)</t>
        </is>
      </c>
      <c r="B7" s="21" t="n">
        <v>0.01</v>
      </c>
    </row>
    <row r="8">
      <c r="A8" s="3" t="inlineStr">
        <is>
          <t>Max Concurrent Positions</t>
        </is>
      </c>
      <c r="B8" s="22" t="n">
        <v>4</v>
      </c>
    </row>
    <row r="9">
      <c r="A9" s="3" t="inlineStr">
        <is>
          <t>Max Daily Loss (%)</t>
        </is>
      </c>
      <c r="B9" s="21" t="n">
        <v>0.03</v>
      </c>
    </row>
    <row r="10">
      <c r="A10" s="3" t="inlineStr">
        <is>
          <t>Max Drawdown Tolerance (%)</t>
        </is>
      </c>
      <c r="B10" s="21" t="n">
        <v>0.15</v>
      </c>
    </row>
    <row r="11">
      <c r="A11" s="3" t="inlineStr">
        <is>
          <t>Leverage</t>
        </is>
      </c>
      <c r="B11" s="20" t="n">
        <v>30</v>
      </c>
    </row>
    <row r="12">
      <c r="A12" s="3" t="inlineStr">
        <is>
          <t>Correlation Cap / Cluster</t>
        </is>
      </c>
      <c r="B12" s="22" t="n">
        <v>2</v>
      </c>
    </row>
    <row r="13" ht="30" customHeight="1"/>
    <row r="14"/>
    <row r="15">
      <c r="A15" s="23" t="inlineStr">
        <is>
          <t>LOT SIZE MATRIX</t>
        </is>
      </c>
    </row>
    <row r="16">
      <c r="A16" s="9" t="inlineStr">
        <is>
          <t>Symbol</t>
        </is>
      </c>
      <c r="B16" s="9" t="inlineStr">
        <is>
          <t>Stop Distance (pips)</t>
        </is>
      </c>
      <c r="C16" s="9" t="inlineStr">
        <is>
          <t>Pip Value (USD/lot)</t>
        </is>
      </c>
      <c r="D16" s="9" t="inlineStr">
        <is>
          <t>Risk $ (calc)</t>
        </is>
      </c>
      <c r="E16" s="9" t="inlineStr">
        <is>
          <t>Lot Size (calc)</t>
        </is>
      </c>
    </row>
    <row r="17">
      <c r="A17" s="10" t="inlineStr">
        <is>
          <t>EURUSD</t>
        </is>
      </c>
      <c r="B17" s="12" t="n">
        <v>30</v>
      </c>
      <c r="C17" s="13" t="n">
        <v>10</v>
      </c>
      <c r="D17" s="24">
        <f>$B$3*$B$4</f>
        <v/>
      </c>
      <c r="E17" s="25">
        <f>IFERROR(D14/(B14*C14),0)</f>
        <v/>
      </c>
    </row>
    <row r="18">
      <c r="A18" s="15" t="inlineStr">
        <is>
          <t>GBPUSD</t>
        </is>
      </c>
      <c r="B18" s="17" t="n">
        <v>40</v>
      </c>
      <c r="C18" s="18" t="n">
        <v>10</v>
      </c>
      <c r="D18" s="26">
        <f>$B$3*$B$4</f>
        <v/>
      </c>
      <c r="E18" s="27">
        <f>IFERROR(D15/(B15*C15),0)</f>
        <v/>
      </c>
    </row>
    <row r="19">
      <c r="A19" s="10" t="inlineStr">
        <is>
          <t>USDJPY</t>
        </is>
      </c>
      <c r="B19" s="12" t="n">
        <v>35</v>
      </c>
      <c r="C19" s="13" t="n">
        <v>9.1</v>
      </c>
      <c r="D19" s="24">
        <f>$B$3*$B$4</f>
        <v/>
      </c>
      <c r="E19" s="25">
        <f>IFERROR(D16/(B16*C16),0)</f>
        <v/>
      </c>
    </row>
    <row r="20">
      <c r="A20" s="15" t="inlineStr">
        <is>
          <t>XAUUSD</t>
        </is>
      </c>
      <c r="B20" s="17" t="n">
        <v>80</v>
      </c>
      <c r="C20" s="18" t="n">
        <v>1</v>
      </c>
      <c r="D20" s="26">
        <f>$B$3*$B$4</f>
        <v/>
      </c>
      <c r="E20" s="27">
        <f>IFERROR(D17/(B17*C17),0)</f>
        <v/>
      </c>
    </row>
    <row r="21">
      <c r="A21" s="10" t="inlineStr">
        <is>
          <t>US30</t>
        </is>
      </c>
      <c r="B21" s="12" t="n">
        <v>120</v>
      </c>
      <c r="C21" s="13" t="n">
        <v>1</v>
      </c>
      <c r="D21" s="24">
        <f>$B$3*$B$4</f>
        <v/>
      </c>
      <c r="E21" s="25">
        <f>IFERROR(D18/(B18*C18),0)</f>
        <v/>
      </c>
    </row>
    <row r="22">
      <c r="A22" s="15" t="inlineStr">
        <is>
          <t>GER40</t>
        </is>
      </c>
      <c r="B22" s="17" t="n">
        <v>100</v>
      </c>
      <c r="C22" s="18" t="n">
        <v>1</v>
      </c>
      <c r="D22" s="26">
        <f>$B$3*$B$4</f>
        <v/>
      </c>
      <c r="E22" s="27">
        <f>IFERROR(D19/(B19*C19),0)</f>
        <v/>
      </c>
    </row>
  </sheetData>
  <mergeCells count="2">
    <mergeCell ref="A2:E2"/>
    <mergeCell ref="A1:D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38" customWidth="1" min="5" max="5"/>
    <col width="20" customWidth="1" min="6" max="6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TRADING SESSIONS</t>
        </is>
      </c>
    </row>
    <row r="5">
      <c r="A5" s="9" t="inlineStr">
        <is>
          <t>Session</t>
        </is>
      </c>
      <c r="B5" s="9" t="inlineStr">
        <is>
          <t>Open (GMT)</t>
        </is>
      </c>
      <c r="C5" s="9" t="inlineStr">
        <is>
          <t>Close (GMT)</t>
        </is>
      </c>
      <c r="D5" s="9" t="inlineStr">
        <is>
          <t>Overlap With</t>
        </is>
      </c>
      <c r="E5" s="9" t="inlineStr">
        <is>
          <t>Best For</t>
        </is>
      </c>
      <c r="F5" s="9" t="inlineStr">
        <is>
          <t>Trade in This Session?</t>
        </is>
      </c>
    </row>
    <row r="6">
      <c r="A6" s="10" t="inlineStr">
        <is>
          <t>Sydney</t>
        </is>
      </c>
      <c r="B6" s="11" t="inlineStr">
        <is>
          <t>21:00</t>
        </is>
      </c>
      <c r="C6" s="11" t="inlineStr">
        <is>
          <t>06:00</t>
        </is>
      </c>
      <c r="D6" s="11" t="inlineStr">
        <is>
          <t>Tokyo</t>
        </is>
      </c>
      <c r="E6" s="11" t="inlineStr">
        <is>
          <t>AUD, NZD pairs</t>
        </is>
      </c>
      <c r="F6" s="11" t="inlineStr">
        <is>
          <t>No</t>
        </is>
      </c>
    </row>
    <row r="7">
      <c r="A7" s="15" t="inlineStr">
        <is>
          <t>Tokyo</t>
        </is>
      </c>
      <c r="B7" s="16" t="inlineStr">
        <is>
          <t>00:00</t>
        </is>
      </c>
      <c r="C7" s="16" t="inlineStr">
        <is>
          <t>09:00</t>
        </is>
      </c>
      <c r="D7" s="16" t="inlineStr">
        <is>
          <t>Sydney</t>
        </is>
      </c>
      <c r="E7" s="16" t="inlineStr">
        <is>
          <t>JPY pairs, Asian indices</t>
        </is>
      </c>
      <c r="F7" s="16" t="inlineStr">
        <is>
          <t>No</t>
        </is>
      </c>
    </row>
    <row r="8">
      <c r="A8" s="10" t="inlineStr">
        <is>
          <t>London</t>
        </is>
      </c>
      <c r="B8" s="11" t="inlineStr">
        <is>
          <t>07:00</t>
        </is>
      </c>
      <c r="C8" s="11" t="inlineStr">
        <is>
          <t>16:00</t>
        </is>
      </c>
      <c r="D8" s="11" t="inlineStr">
        <is>
          <t>NY</t>
        </is>
      </c>
      <c r="E8" s="11" t="inlineStr">
        <is>
          <t>EUR, GBP, CHF pairs</t>
        </is>
      </c>
      <c r="F8" s="11" t="inlineStr">
        <is>
          <t>Yes</t>
        </is>
      </c>
    </row>
    <row r="9">
      <c r="A9" s="15" t="inlineStr">
        <is>
          <t>New York</t>
        </is>
      </c>
      <c r="B9" s="16" t="inlineStr">
        <is>
          <t>12:00</t>
        </is>
      </c>
      <c r="C9" s="16" t="inlineStr">
        <is>
          <t>21:00</t>
        </is>
      </c>
      <c r="D9" s="16" t="inlineStr">
        <is>
          <t>London</t>
        </is>
      </c>
      <c r="E9" s="16" t="inlineStr">
        <is>
          <t>USD pairs, US indices</t>
        </is>
      </c>
      <c r="F9" s="16" t="inlineStr">
        <is>
          <t>Yes</t>
        </is>
      </c>
    </row>
    <row r="10">
      <c r="A10" s="10" t="inlineStr">
        <is>
          <t>London-NY Overlap</t>
        </is>
      </c>
      <c r="B10" s="11" t="inlineStr">
        <is>
          <t>12:00</t>
        </is>
      </c>
      <c r="C10" s="11" t="inlineStr">
        <is>
          <t>16:00</t>
        </is>
      </c>
      <c r="D10" s="11" t="inlineStr">
        <is>
          <t>—</t>
        </is>
      </c>
      <c r="E10" s="11" t="inlineStr">
        <is>
          <t>Highest liquidity, best for breakouts</t>
        </is>
      </c>
      <c r="F10" s="11" t="inlineStr">
        <is>
          <t>Yes</t>
        </is>
      </c>
    </row>
  </sheetData>
  <mergeCells count="2">
    <mergeCell ref="A2:F2"/>
    <mergeCell ref="A1:F1"/>
  </mergeCells>
  <dataValidations count="1">
    <dataValidation sqref="F3:F7" showDropDown="0" showInputMessage="0" showErrorMessage="0" allowBlank="1" errorTitle="Invalid entry" error="Please pick a value from the dropdown" type="list">
      <formula1>"Yes,No"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2" customWidth="1" min="4" max="4"/>
    <col width="28" customWidth="1" min="5" max="5"/>
    <col width="26" customWidth="1" min="6" max="6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COST MODEL PER INSTRUMENT</t>
        </is>
      </c>
    </row>
    <row r="5">
      <c r="A5" s="9" t="inlineStr">
        <is>
          <t>Symbol</t>
        </is>
      </c>
      <c r="B5" s="9" t="inlineStr">
        <is>
          <t>Spread Cost (USD/lot)</t>
        </is>
      </c>
      <c r="C5" s="9" t="inlineStr">
        <is>
          <t>Commission (USD/lot)</t>
        </is>
      </c>
      <c r="D5" s="9" t="inlineStr">
        <is>
          <t>Swap/Day (USD/lot)</t>
        </is>
      </c>
      <c r="E5" s="9" t="inlineStr">
        <is>
          <t>Slippage Assumption (pips)</t>
        </is>
      </c>
      <c r="F5" s="9" t="inlineStr">
        <is>
          <t>Total RT Cost (USD/lot)</t>
        </is>
      </c>
    </row>
    <row r="6">
      <c r="A6" s="10" t="inlineStr">
        <is>
          <t>EURUSD</t>
        </is>
      </c>
      <c r="B6" s="13" t="n">
        <v>8</v>
      </c>
      <c r="C6" s="13" t="n">
        <v>3.5</v>
      </c>
      <c r="D6" s="13" t="n">
        <v>-3.5</v>
      </c>
      <c r="E6" s="13" t="n">
        <v>0.5</v>
      </c>
      <c r="F6" s="13">
        <f>IFERROR(2*B3+2*C3+E3*10,0)</f>
        <v/>
      </c>
    </row>
    <row r="7">
      <c r="A7" s="15" t="inlineStr">
        <is>
          <t>GBPUSD</t>
        </is>
      </c>
      <c r="B7" s="18" t="n">
        <v>12</v>
      </c>
      <c r="C7" s="18" t="n">
        <v>3.5</v>
      </c>
      <c r="D7" s="18" t="n">
        <v>-4.8</v>
      </c>
      <c r="E7" s="18" t="n">
        <v>0.5</v>
      </c>
      <c r="F7" s="18">
        <f>IFERROR(2*B4+2*C4+E4*10,0)</f>
        <v/>
      </c>
    </row>
    <row r="8">
      <c r="A8" s="10" t="inlineStr">
        <is>
          <t>USDJPY</t>
        </is>
      </c>
      <c r="B8" s="13" t="n">
        <v>9.1</v>
      </c>
      <c r="C8" s="13" t="n">
        <v>3.5</v>
      </c>
      <c r="D8" s="13" t="n">
        <v>-2.1</v>
      </c>
      <c r="E8" s="13" t="n">
        <v>0.5</v>
      </c>
      <c r="F8" s="13">
        <f>IFERROR(2*B5+2*C5+E5*10,0)</f>
        <v/>
      </c>
    </row>
    <row r="9">
      <c r="A9" s="15" t="inlineStr">
        <is>
          <t>XAUUSD</t>
        </is>
      </c>
      <c r="B9" s="18" t="n">
        <v>3</v>
      </c>
      <c r="C9" s="18" t="n">
        <v>6</v>
      </c>
      <c r="D9" s="18" t="n">
        <v>-8.5</v>
      </c>
      <c r="E9" s="18" t="n">
        <v>1</v>
      </c>
      <c r="F9" s="18">
        <f>IFERROR(2*B6+2*C6+E6*10,0)</f>
        <v/>
      </c>
    </row>
    <row r="10">
      <c r="A10" s="10" t="inlineStr">
        <is>
          <t>US30</t>
        </is>
      </c>
      <c r="B10" s="13" t="n">
        <v>2.5</v>
      </c>
      <c r="C10" s="13" t="n">
        <v>0</v>
      </c>
      <c r="D10" s="13" t="n">
        <v>-1.2</v>
      </c>
      <c r="E10" s="13" t="n">
        <v>1.5</v>
      </c>
      <c r="F10" s="13">
        <f>IFERROR(2*B7+2*C7+E7*10,0)</f>
        <v/>
      </c>
    </row>
    <row r="11">
      <c r="A11" s="15" t="inlineStr">
        <is>
          <t>GER40</t>
        </is>
      </c>
      <c r="B11" s="18" t="n">
        <v>1.8</v>
      </c>
      <c r="C11" s="18" t="n">
        <v>0</v>
      </c>
      <c r="D11" s="18" t="n">
        <v>-0.9</v>
      </c>
      <c r="E11" s="18" t="n">
        <v>1.5</v>
      </c>
      <c r="F11" s="18">
        <f>IFERROR(2*B8+2*C8+E8*10,0)</f>
        <v/>
      </c>
    </row>
  </sheetData>
  <mergeCells count="2">
    <mergeCell ref="A2:F2"/>
    <mergeCell ref="A1:F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2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BACKTEST METRICS (TRADER-PROVIDED)</t>
        </is>
      </c>
    </row>
    <row r="5">
      <c r="A5" s="9" t="inlineStr">
        <is>
          <t>Symbol</t>
        </is>
      </c>
      <c r="B5" s="9" t="inlineStr">
        <is>
          <t>Period</t>
        </is>
      </c>
      <c r="C5" s="9" t="inlineStr">
        <is>
          <t># Trades</t>
        </is>
      </c>
      <c r="D5" s="9" t="inlineStr">
        <is>
          <t>Win Rate</t>
        </is>
      </c>
      <c r="E5" s="9" t="inlineStr">
        <is>
          <t>Avg R:R</t>
        </is>
      </c>
      <c r="F5" s="9" t="inlineStr">
        <is>
          <t>Sharpe</t>
        </is>
      </c>
      <c r="G5" s="9" t="inlineStr">
        <is>
          <t>Sortino</t>
        </is>
      </c>
      <c r="H5" s="9" t="inlineStr">
        <is>
          <t>Max DD</t>
        </is>
      </c>
      <c r="I5" s="9" t="inlineStr">
        <is>
          <t>CAGR</t>
        </is>
      </c>
      <c r="J5" s="9" t="inlineStr">
        <is>
          <t>Profit Factor</t>
        </is>
      </c>
      <c r="K5" s="9" t="inlineStr">
        <is>
          <t>Net PnL (USD)</t>
        </is>
      </c>
    </row>
    <row r="6">
      <c r="A6" s="10" t="inlineStr">
        <is>
          <t>EURUSD</t>
        </is>
      </c>
      <c r="B6" s="11" t="inlineStr">
        <is>
          <t>2020-01 to 2025-12</t>
        </is>
      </c>
      <c r="C6" s="12" t="n">
        <v>412</v>
      </c>
      <c r="D6" s="28" t="n">
        <v>0.52</v>
      </c>
      <c r="E6" s="25" t="n">
        <v>1.8</v>
      </c>
      <c r="F6" s="25" t="n">
        <v>1.42</v>
      </c>
      <c r="G6" s="25" t="n">
        <v>1.98</v>
      </c>
      <c r="H6" s="28" t="n">
        <v>0.082</v>
      </c>
      <c r="I6" s="28" t="n">
        <v>0.145</v>
      </c>
      <c r="J6" s="25" t="n">
        <v>1.63</v>
      </c>
      <c r="K6" s="29" t="n">
        <v>42350</v>
      </c>
    </row>
    <row r="7">
      <c r="A7" s="15" t="inlineStr">
        <is>
          <t>GBPUSD</t>
        </is>
      </c>
      <c r="B7" s="16" t="inlineStr">
        <is>
          <t>2020-01 to 2025-12</t>
        </is>
      </c>
      <c r="C7" s="17" t="n">
        <v>398</v>
      </c>
      <c r="D7" s="30" t="n">
        <v>0.49</v>
      </c>
      <c r="E7" s="27" t="n">
        <v>2</v>
      </c>
      <c r="F7" s="27" t="n">
        <v>1.28</v>
      </c>
      <c r="G7" s="27" t="n">
        <v>1.71</v>
      </c>
      <c r="H7" s="30" t="n">
        <v>0.094</v>
      </c>
      <c r="I7" s="30" t="n">
        <v>0.131</v>
      </c>
      <c r="J7" s="27" t="n">
        <v>1.55</v>
      </c>
      <c r="K7" s="31" t="n">
        <v>38720</v>
      </c>
    </row>
    <row r="8">
      <c r="A8" s="10" t="inlineStr">
        <is>
          <t>USDJPY</t>
        </is>
      </c>
      <c r="B8" s="11" t="inlineStr">
        <is>
          <t>2020-01 to 2025-12</t>
        </is>
      </c>
      <c r="C8" s="12" t="n">
        <v>385</v>
      </c>
      <c r="D8" s="28" t="n">
        <v>0.54</v>
      </c>
      <c r="E8" s="25" t="n">
        <v>1.6</v>
      </c>
      <c r="F8" s="25" t="n">
        <v>1.35</v>
      </c>
      <c r="G8" s="25" t="n">
        <v>1.89</v>
      </c>
      <c r="H8" s="28" t="n">
        <v>0.076</v>
      </c>
      <c r="I8" s="28" t="n">
        <v>0.128</v>
      </c>
      <c r="J8" s="25" t="n">
        <v>1.58</v>
      </c>
      <c r="K8" s="29" t="n">
        <v>35110</v>
      </c>
    </row>
    <row r="9">
      <c r="A9" s="15" t="inlineStr">
        <is>
          <t>XAUUSD</t>
        </is>
      </c>
      <c r="B9" s="16" t="inlineStr">
        <is>
          <t>2020-01 to 2025-12</t>
        </is>
      </c>
      <c r="C9" s="17" t="n">
        <v>287</v>
      </c>
      <c r="D9" s="30" t="n">
        <v>0.51</v>
      </c>
      <c r="E9" s="27" t="n">
        <v>2.2</v>
      </c>
      <c r="F9" s="27" t="n">
        <v>1.67</v>
      </c>
      <c r="G9" s="27" t="n">
        <v>2.31</v>
      </c>
      <c r="H9" s="30" t="n">
        <v>0.108</v>
      </c>
      <c r="I9" s="30" t="n">
        <v>0.186</v>
      </c>
      <c r="J9" s="27" t="n">
        <v>1.82</v>
      </c>
      <c r="K9" s="31" t="n">
        <v>58900</v>
      </c>
    </row>
    <row r="10">
      <c r="A10" s="10" t="inlineStr">
        <is>
          <t>US30</t>
        </is>
      </c>
      <c r="B10" s="11" t="inlineStr">
        <is>
          <t>2020-01 to 2025-12</t>
        </is>
      </c>
      <c r="C10" s="12" t="n">
        <v>246</v>
      </c>
      <c r="D10" s="28" t="n">
        <v>0.5600000000000001</v>
      </c>
      <c r="E10" s="25" t="n">
        <v>1.5</v>
      </c>
      <c r="F10" s="25" t="n">
        <v>1.51</v>
      </c>
      <c r="G10" s="25" t="n">
        <v>2.05</v>
      </c>
      <c r="H10" s="28" t="n">
        <v>0.089</v>
      </c>
      <c r="I10" s="28" t="n">
        <v>0.163</v>
      </c>
      <c r="J10" s="25" t="n">
        <v>1.71</v>
      </c>
      <c r="K10" s="29" t="n">
        <v>48200</v>
      </c>
    </row>
    <row r="11">
      <c r="A11" s="15" t="inlineStr">
        <is>
          <t>GER40</t>
        </is>
      </c>
      <c r="B11" s="16" t="inlineStr">
        <is>
          <t>2020-01 to 2025-12</t>
        </is>
      </c>
      <c r="C11" s="17" t="n">
        <v>231</v>
      </c>
      <c r="D11" s="30" t="n">
        <v>0.53</v>
      </c>
      <c r="E11" s="27" t="n">
        <v>1.7</v>
      </c>
      <c r="F11" s="27" t="n">
        <v>1.44</v>
      </c>
      <c r="G11" s="27" t="n">
        <v>1.92</v>
      </c>
      <c r="H11" s="30" t="n">
        <v>0.097</v>
      </c>
      <c r="I11" s="30" t="n">
        <v>0.154</v>
      </c>
      <c r="J11" s="27" t="n">
        <v>1.66</v>
      </c>
      <c r="K11" s="31" t="n">
        <v>44100</v>
      </c>
    </row>
    <row r="12">
      <c r="A12" s="32" t="inlineStr">
        <is>
          <t>PORTFOLIO</t>
        </is>
      </c>
      <c r="B12" s="33" t="inlineStr">
        <is>
          <t>2020-01 to 2025-12</t>
        </is>
      </c>
      <c r="C12" s="34" t="n">
        <v>1959</v>
      </c>
      <c r="D12" s="35" t="n">
        <v>0.525</v>
      </c>
      <c r="E12" s="36" t="n">
        <v>1.8</v>
      </c>
      <c r="F12" s="36" t="n">
        <v>2.18</v>
      </c>
      <c r="G12" s="36" t="n">
        <v>2.94</v>
      </c>
      <c r="H12" s="35" t="n">
        <v>0.07099999999999999</v>
      </c>
      <c r="I12" s="35" t="n">
        <v>0.162</v>
      </c>
      <c r="J12" s="36" t="n">
        <v>1.68</v>
      </c>
      <c r="K12" s="37" t="n">
        <v>267380</v>
      </c>
    </row>
  </sheetData>
  <mergeCells count="2">
    <mergeCell ref="A2:K2"/>
    <mergeCell ref="A1:K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Rey Capital</dc:creator>
  <dc:title xmlns:dc="http://purl.org/dc/elements/1.1/">CFD Strategy Intake — Rey Capital</dc:title>
  <dc:description xmlns:dc="http://purl.org/dc/elements/1.1/">Confidential — Rey Capital internal strategy intake document.</dc:description>
  <dcterms:created xmlns:dcterms="http://purl.org/dc/terms/" xmlns:xsi="http://www.w3.org/2001/XMLSchema-instance" xsi:type="dcterms:W3CDTF">2026-04-20T12:04:10Z</dcterms:created>
  <dcterms:modified xmlns:dcterms="http://purl.org/dc/terms/" xmlns:xsi="http://www.w3.org/2001/XMLSchema-instance" xsi:type="dcterms:W3CDTF">2026-04-20T12:04:10Z</dcterms:modified>
  <cp:keywords>CONFIDENTIAL, CFD, Strategy, Rey Capital, DHRUVA</cp:keywords>
</cp:coreProperties>
</file>