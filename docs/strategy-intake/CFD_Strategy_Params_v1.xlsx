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ments" sheetId="2" state="visible" r:id="rId2"/>
    <sheet xmlns:r="http://schemas.openxmlformats.org/officeDocument/2006/relationships" name="PositionSizing" sheetId="3" state="visible" r:id="rId3"/>
    <sheet xmlns:r="http://schemas.openxmlformats.org/officeDocument/2006/relationships" name="SessionHours" sheetId="4" state="visible" r:id="rId4"/>
    <sheet xmlns:r="http://schemas.openxmlformats.org/officeDocument/2006/relationships" name="CostModel" sheetId="5" state="visible" r:id="rId5"/>
    <sheet xmlns:r="http://schemas.openxmlformats.org/officeDocument/2006/relationships" name="Backtest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i val="1"/>
      <color rgb="00C00000"/>
      <sz val="10"/>
    </font>
    <font>
      <name val="Calibr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0267A"/>
      </patternFill>
    </fill>
    <fill>
      <patternFill patternType="solid">
        <fgColor rgb="003457C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DE7E9"/>
      </patternFill>
    </fill>
    <fill>
      <patternFill patternType="solid">
        <fgColor rgb="001E3FAE"/>
      </patternFill>
    </fill>
    <fill>
      <patternFill patternType="solid">
        <fgColor rgb="00E4EAFB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5" fillId="7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3" fontId="4" fillId="10" borderId="1" applyAlignment="1" pivotButton="0" quotePrefix="0" xfId="0">
      <alignment horizontal="center" vertical="center" wrapText="1"/>
    </xf>
    <xf numFmtId="4" fontId="4" fillId="10" borderId="1" applyAlignment="1" pivotButton="0" quotePrefix="0" xfId="0">
      <alignment horizontal="center" vertical="center" wrapText="1"/>
    </xf>
    <xf numFmtId="10" fontId="4" fillId="10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1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3" fontId="4" fillId="9" borderId="1" applyAlignment="1" pivotButton="0" quotePrefix="0" xfId="0">
      <alignment horizontal="center" vertical="center" wrapText="1"/>
    </xf>
    <xf numFmtId="4" fontId="4" fillId="9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2" fontId="4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165" fontId="4" fillId="9" borderId="1" applyAlignment="1" pivotButton="0" quotePrefix="0" xfId="0">
      <alignment horizontal="center" vertical="center" wrapText="1"/>
    </xf>
    <xf numFmtId="166" fontId="4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7145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7145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7145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7145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7145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17145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8" customWidth="1" min="3" max="3"/>
    <col width="18" customWidth="1" min="4" max="4"/>
  </cols>
  <sheetData>
    <row r="1" ht="50" customHeight="1"/>
    <row r="2" ht="20" customHeight="1">
      <c r="A2" s="1" t="inlineStr">
        <is>
          <t>CONFIDENTIAL — REY CAPITAL | SMART INVESTMENTS</t>
        </is>
      </c>
    </row>
    <row r="3" ht="6" customHeight="1"/>
    <row r="4" ht="22" customHeight="1">
      <c r="A4" s="2" t="inlineStr">
        <is>
          <t>CFD STRATEGY PARAMETERS — DHRUVA Automation Intake</t>
        </is>
      </c>
    </row>
    <row r="5" ht="22" customHeight="1"/>
    <row r="6" ht="22" customHeight="1">
      <c r="A6" s="3" t="inlineStr">
        <is>
          <t>Strategy Name</t>
        </is>
      </c>
      <c r="B6" s="4" t="inlineStr"/>
    </row>
    <row r="7" ht="22" customHeight="1">
      <c r="A7" s="3" t="inlineStr">
        <is>
          <t>Strategy Code</t>
        </is>
      </c>
      <c r="B7" s="4" t="inlineStr"/>
    </row>
    <row r="8" ht="22" customHeight="1">
      <c r="A8" s="3" t="inlineStr">
        <is>
          <t>Version</t>
        </is>
      </c>
      <c r="B8" s="4" t="inlineStr"/>
    </row>
    <row r="9" ht="22" customHeight="1">
      <c r="A9" s="3" t="inlineStr">
        <is>
          <t>Author / PM</t>
        </is>
      </c>
      <c r="B9" s="4" t="inlineStr"/>
    </row>
    <row r="10" ht="22" customHeight="1">
      <c r="A10" s="3" t="inlineStr">
        <is>
          <t>Desk</t>
        </is>
      </c>
      <c r="B10" s="4" t="inlineStr"/>
    </row>
    <row r="11" ht="22" customHeight="1">
      <c r="A11" s="3" t="inlineStr">
        <is>
          <t>Submission Date</t>
        </is>
      </c>
      <c r="B11" s="4" t="inlineStr"/>
    </row>
    <row r="12" ht="22" customHeight="1">
      <c r="A12" s="3" t="inlineStr">
        <is>
          <t>Base Currency</t>
        </is>
      </c>
      <c r="B12" s="4" t="inlineStr"/>
    </row>
    <row r="13" ht="22" customHeight="1">
      <c r="A13" s="3" t="inlineStr">
        <is>
          <t>Direction</t>
        </is>
      </c>
      <c r="B13" s="4" t="inlineStr"/>
    </row>
    <row r="14" ht="22" customHeight="1">
      <c r="A14" s="3" t="inlineStr">
        <is>
          <t>Primary Timeframe</t>
        </is>
      </c>
      <c r="B14" s="4" t="inlineStr"/>
    </row>
    <row r="15">
      <c r="A15" s="3" t="inlineStr">
        <is>
          <t>Strategy Category</t>
        </is>
      </c>
      <c r="B15" s="4" t="inlineStr"/>
    </row>
    <row r="16">
      <c r="A16" s="3" t="inlineStr">
        <is>
          <t>Companion Word Doc</t>
        </is>
      </c>
      <c r="B16" s="4" t="inlineStr"/>
    </row>
    <row r="17">
      <c r="A17" s="3" t="inlineStr">
        <is>
          <t>Status</t>
        </is>
      </c>
      <c r="B17" s="4" t="inlineStr"/>
    </row>
    <row r="18"/>
    <row r="19"/>
    <row r="20">
      <c r="A20" s="5" t="inlineStr">
        <is>
          <t>LEGEND</t>
        </is>
      </c>
    </row>
    <row r="21">
      <c r="A21" s="6" t="inlineStr">
        <is>
          <t>Yellow = user input</t>
        </is>
      </c>
    </row>
    <row r="22">
      <c r="A22" s="7" t="inlineStr">
        <is>
          <t>Green  = completed / sample</t>
        </is>
      </c>
    </row>
    <row r="23">
      <c r="A23" s="8" t="inlineStr">
        <is>
          <t>Blue   = dropdown field</t>
        </is>
      </c>
    </row>
  </sheetData>
  <mergeCells count="14">
    <mergeCell ref="B10:D10"/>
    <mergeCell ref="A1:D1"/>
    <mergeCell ref="B11:D11"/>
    <mergeCell ref="B3:D3"/>
    <mergeCell ref="B5:D5"/>
    <mergeCell ref="B14:D14"/>
    <mergeCell ref="B8:D8"/>
    <mergeCell ref="B4:D4"/>
    <mergeCell ref="B9:D9"/>
    <mergeCell ref="B13:D13"/>
    <mergeCell ref="A2:D2"/>
    <mergeCell ref="B12:D12"/>
    <mergeCell ref="B7:D7"/>
    <mergeCell ref="B6:D6"/>
  </mergeCells>
  <dataValidations count="4">
    <dataValidation sqref="B9" showDropDown="0" showInputMessage="0" showErrorMessage="0" allowBlank="1" errorTitle="Invalid entry" error="Please pick a value from the dropdown" type="list">
      <formula1>"USD,EUR,GBP,JPY,INR,AUD,CAD,CHF"</formula1>
    </dataValidation>
    <dataValidation sqref="B10" showDropDown="0" showInputMessage="0" showErrorMessage="0" allowBlank="1" errorTitle="Invalid entry" error="Please pick a value from the dropdown" type="list">
      <formula1>"Long Only,Short Only,Both"</formula1>
    </dataValidation>
    <dataValidation sqref="B11" showDropDown="0" showInputMessage="0" showErrorMessage="0" allowBlank="1" errorTitle="Invalid entry" error="Please pick a value from the dropdown" type="list">
      <formula1>"Tick,M1,M5,M15,M30,H1,H4,D1,W1"</formula1>
    </dataValidation>
    <dataValidation sqref="B12" showDropDown="0" showInputMessage="0" showErrorMessage="0" allowBlank="1" errorTitle="Invalid entry" error="Please pick a value from the dropdown" type="list">
      <formula1>"Trend-Following,Mean-Reversion,Breakout,Arbitrage,Event-Driven,Market-Making,Scalping,Carry"</formula1>
    </dataValidation>
  </dataValidations>
  <pageMargins left="0.75" right="0.75" top="1" bottom="1" header="0.5" footer="0.5"/>
  <headerFooter>
    <oddHeader>&amp;L&amp;9 Rey Capital | Smart Investments&amp;C&amp;11 &amp;KC00000CONFIDENTIAL — REY CAPITAL INTERNAL USE ONLY</oddHeader>
    <oddFooter>&amp;C&amp;9 Page &amp;P of &amp;N&amp;R&amp;9 CFD Strategy Intake v1.0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25"/>
  <sheetViews>
    <sheetView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4" customWidth="1" min="4" max="4"/>
    <col width="16" customWidth="1" min="5" max="5"/>
    <col width="16" customWidth="1" min="6" max="6"/>
    <col width="18" customWidth="1" min="7" max="7"/>
    <col width="14" customWidth="1" min="8" max="8"/>
    <col width="14" customWidth="1" min="9" max="9"/>
    <col width="12" customWidth="1" min="10" max="10"/>
    <col width="18" customWidth="1" min="11" max="11"/>
    <col width="30" customWidth="1" min="12" max="12"/>
    <col width="10" customWidth="1" min="13" max="13"/>
  </cols>
  <sheetData>
    <row r="1" ht="50" customHeight="1"/>
    <row r="2" ht="20" customHeight="1">
      <c r="A2" s="1" t="inlineStr">
        <is>
          <t>CONFIDENTIAL — REY CAPITAL | SMART INVESTMENTS</t>
        </is>
      </c>
    </row>
    <row r="3" ht="6" customHeight="1"/>
    <row r="4">
      <c r="A4" s="2" t="inlineStr">
        <is>
          <t>INSTRUMENT UNIVERSE</t>
        </is>
      </c>
    </row>
    <row r="5">
      <c r="A5" s="9" t="inlineStr">
        <is>
          <t>Symbol</t>
        </is>
      </c>
      <c r="B5" s="9" t="inlineStr">
        <is>
          <t>Asset Class</t>
        </is>
      </c>
      <c r="C5" s="9" t="inlineStr">
        <is>
          <t>Description</t>
        </is>
      </c>
      <c r="D5" s="9" t="inlineStr">
        <is>
          <t>Contract Size</t>
        </is>
      </c>
      <c r="E5" s="9" t="inlineStr">
        <is>
          <t>Pip Value (USD)</t>
        </is>
      </c>
      <c r="F5" s="9" t="inlineStr">
        <is>
          <t>Min Spread (pips)</t>
        </is>
      </c>
      <c r="G5" s="9" t="inlineStr">
        <is>
          <t>Typical Spread (pips)</t>
        </is>
      </c>
      <c r="H5" s="9" t="inlineStr">
        <is>
          <t>Swap Long (pts)</t>
        </is>
      </c>
      <c r="I5" s="9" t="inlineStr">
        <is>
          <t>Swap Short (pts)</t>
        </is>
      </c>
      <c r="J5" s="9" t="inlineStr">
        <is>
          <t>Margin %</t>
        </is>
      </c>
      <c r="K5" s="9" t="inlineStr">
        <is>
          <t>Commission (USD/lot)</t>
        </is>
      </c>
      <c r="L5" s="9" t="inlineStr">
        <is>
          <t>Trading Hours (GMT)</t>
        </is>
      </c>
      <c r="M5" s="9" t="inlineStr">
        <is>
          <t>Active?</t>
        </is>
      </c>
    </row>
    <row r="6">
      <c r="A6" s="4" t="n"/>
      <c r="B6" s="10" t="n"/>
      <c r="C6" s="10" t="n"/>
      <c r="D6" s="11" t="n"/>
      <c r="E6" s="12" t="n"/>
      <c r="F6" s="12" t="n"/>
      <c r="G6" s="12" t="n"/>
      <c r="H6" s="12" t="n"/>
      <c r="I6" s="12" t="n"/>
      <c r="J6" s="13" t="n"/>
      <c r="K6" s="12" t="n"/>
      <c r="L6" s="10" t="n"/>
      <c r="M6" s="10" t="n"/>
    </row>
    <row r="7">
      <c r="A7" s="14" t="n"/>
      <c r="B7" s="15" t="n"/>
      <c r="C7" s="15" t="n"/>
      <c r="D7" s="16" t="n"/>
      <c r="E7" s="17" t="n"/>
      <c r="F7" s="17" t="n"/>
      <c r="G7" s="17" t="n"/>
      <c r="H7" s="17" t="n"/>
      <c r="I7" s="17" t="n"/>
      <c r="J7" s="18" t="n"/>
      <c r="K7" s="17" t="n"/>
      <c r="L7" s="15" t="n"/>
      <c r="M7" s="15" t="n"/>
    </row>
    <row r="8">
      <c r="A8" s="4" t="n"/>
      <c r="B8" s="10" t="n"/>
      <c r="C8" s="10" t="n"/>
      <c r="D8" s="11" t="n"/>
      <c r="E8" s="12" t="n"/>
      <c r="F8" s="12" t="n"/>
      <c r="G8" s="12" t="n"/>
      <c r="H8" s="12" t="n"/>
      <c r="I8" s="12" t="n"/>
      <c r="J8" s="13" t="n"/>
      <c r="K8" s="12" t="n"/>
      <c r="L8" s="10" t="n"/>
      <c r="M8" s="10" t="n"/>
    </row>
    <row r="9">
      <c r="A9" s="14" t="n"/>
      <c r="B9" s="15" t="n"/>
      <c r="C9" s="15" t="n"/>
      <c r="D9" s="16" t="n"/>
      <c r="E9" s="17" t="n"/>
      <c r="F9" s="17" t="n"/>
      <c r="G9" s="17" t="n"/>
      <c r="H9" s="17" t="n"/>
      <c r="I9" s="17" t="n"/>
      <c r="J9" s="18" t="n"/>
      <c r="K9" s="17" t="n"/>
      <c r="L9" s="15" t="n"/>
      <c r="M9" s="15" t="n"/>
    </row>
    <row r="10">
      <c r="A10" s="4" t="n"/>
      <c r="B10" s="10" t="n"/>
      <c r="C10" s="10" t="n"/>
      <c r="D10" s="11" t="n"/>
      <c r="E10" s="12" t="n"/>
      <c r="F10" s="12" t="n"/>
      <c r="G10" s="12" t="n"/>
      <c r="H10" s="12" t="n"/>
      <c r="I10" s="12" t="n"/>
      <c r="J10" s="13" t="n"/>
      <c r="K10" s="12" t="n"/>
      <c r="L10" s="10" t="n"/>
      <c r="M10" s="10" t="n"/>
    </row>
    <row r="11">
      <c r="A11" s="14" t="n"/>
      <c r="B11" s="15" t="n"/>
      <c r="C11" s="15" t="n"/>
      <c r="D11" s="16" t="n"/>
      <c r="E11" s="17" t="n"/>
      <c r="F11" s="17" t="n"/>
      <c r="G11" s="17" t="n"/>
      <c r="H11" s="17" t="n"/>
      <c r="I11" s="17" t="n"/>
      <c r="J11" s="18" t="n"/>
      <c r="K11" s="17" t="n"/>
      <c r="L11" s="15" t="n"/>
      <c r="M11" s="15" t="n"/>
    </row>
    <row r="12">
      <c r="A12" s="4" t="n"/>
      <c r="B12" s="10" t="n"/>
      <c r="C12" s="10" t="n"/>
      <c r="D12" s="11" t="n"/>
      <c r="E12" s="12" t="n"/>
      <c r="F12" s="12" t="n"/>
      <c r="G12" s="12" t="n"/>
      <c r="H12" s="12" t="n"/>
      <c r="I12" s="12" t="n"/>
      <c r="J12" s="13" t="n"/>
      <c r="K12" s="12" t="n"/>
      <c r="L12" s="10" t="n"/>
      <c r="M12" s="10" t="n"/>
    </row>
    <row r="13">
      <c r="A13" s="14" t="n"/>
      <c r="B13" s="15" t="n"/>
      <c r="C13" s="15" t="n"/>
      <c r="D13" s="16" t="n"/>
      <c r="E13" s="17" t="n"/>
      <c r="F13" s="17" t="n"/>
      <c r="G13" s="17" t="n"/>
      <c r="H13" s="17" t="n"/>
      <c r="I13" s="17" t="n"/>
      <c r="J13" s="18" t="n"/>
      <c r="K13" s="17" t="n"/>
      <c r="L13" s="15" t="n"/>
      <c r="M13" s="15" t="n"/>
    </row>
    <row r="14">
      <c r="A14" s="4" t="n"/>
      <c r="B14" s="10" t="n"/>
      <c r="C14" s="10" t="n"/>
      <c r="D14" s="11" t="n"/>
      <c r="E14" s="12" t="n"/>
      <c r="F14" s="12" t="n"/>
      <c r="G14" s="12" t="n"/>
      <c r="H14" s="12" t="n"/>
      <c r="I14" s="12" t="n"/>
      <c r="J14" s="13" t="n"/>
      <c r="K14" s="12" t="n"/>
      <c r="L14" s="10" t="n"/>
      <c r="M14" s="10" t="n"/>
    </row>
    <row r="15">
      <c r="A15" s="14" t="n"/>
      <c r="B15" s="15" t="n"/>
      <c r="C15" s="15" t="n"/>
      <c r="D15" s="16" t="n"/>
      <c r="E15" s="17" t="n"/>
      <c r="F15" s="17" t="n"/>
      <c r="G15" s="17" t="n"/>
      <c r="H15" s="17" t="n"/>
      <c r="I15" s="17" t="n"/>
      <c r="J15" s="18" t="n"/>
      <c r="K15" s="17" t="n"/>
      <c r="L15" s="15" t="n"/>
      <c r="M15" s="15" t="n"/>
    </row>
    <row r="16">
      <c r="A16" s="4" t="n"/>
      <c r="B16" s="10" t="n"/>
      <c r="C16" s="10" t="n"/>
      <c r="D16" s="11" t="n"/>
      <c r="E16" s="12" t="n"/>
      <c r="F16" s="12" t="n"/>
      <c r="G16" s="12" t="n"/>
      <c r="H16" s="12" t="n"/>
      <c r="I16" s="12" t="n"/>
      <c r="J16" s="13" t="n"/>
      <c r="K16" s="12" t="n"/>
      <c r="L16" s="10" t="n"/>
      <c r="M16" s="10" t="n"/>
    </row>
    <row r="17">
      <c r="A17" s="14" t="n"/>
      <c r="B17" s="15" t="n"/>
      <c r="C17" s="15" t="n"/>
      <c r="D17" s="16" t="n"/>
      <c r="E17" s="17" t="n"/>
      <c r="F17" s="17" t="n"/>
      <c r="G17" s="17" t="n"/>
      <c r="H17" s="17" t="n"/>
      <c r="I17" s="17" t="n"/>
      <c r="J17" s="18" t="n"/>
      <c r="K17" s="17" t="n"/>
      <c r="L17" s="15" t="n"/>
      <c r="M17" s="15" t="n"/>
    </row>
    <row r="18">
      <c r="A18" s="4" t="n"/>
      <c r="B18" s="10" t="n"/>
      <c r="C18" s="10" t="n"/>
      <c r="D18" s="11" t="n"/>
      <c r="E18" s="12" t="n"/>
      <c r="F18" s="12" t="n"/>
      <c r="G18" s="12" t="n"/>
      <c r="H18" s="12" t="n"/>
      <c r="I18" s="12" t="n"/>
      <c r="J18" s="13" t="n"/>
      <c r="K18" s="12" t="n"/>
      <c r="L18" s="10" t="n"/>
      <c r="M18" s="10" t="n"/>
    </row>
    <row r="19">
      <c r="A19" s="14" t="n"/>
      <c r="B19" s="15" t="n"/>
      <c r="C19" s="15" t="n"/>
      <c r="D19" s="16" t="n"/>
      <c r="E19" s="17" t="n"/>
      <c r="F19" s="17" t="n"/>
      <c r="G19" s="17" t="n"/>
      <c r="H19" s="17" t="n"/>
      <c r="I19" s="17" t="n"/>
      <c r="J19" s="18" t="n"/>
      <c r="K19" s="17" t="n"/>
      <c r="L19" s="15" t="n"/>
      <c r="M19" s="15" t="n"/>
    </row>
    <row r="20">
      <c r="A20" s="4" t="n"/>
      <c r="B20" s="10" t="n"/>
      <c r="C20" s="10" t="n"/>
      <c r="D20" s="11" t="n"/>
      <c r="E20" s="12" t="n"/>
      <c r="F20" s="12" t="n"/>
      <c r="G20" s="12" t="n"/>
      <c r="H20" s="12" t="n"/>
      <c r="I20" s="12" t="n"/>
      <c r="J20" s="13" t="n"/>
      <c r="K20" s="12" t="n"/>
      <c r="L20" s="10" t="n"/>
      <c r="M20" s="10" t="n"/>
    </row>
    <row r="21">
      <c r="A21" s="14" t="n"/>
      <c r="B21" s="15" t="n"/>
      <c r="C21" s="15" t="n"/>
      <c r="D21" s="16" t="n"/>
      <c r="E21" s="17" t="n"/>
      <c r="F21" s="17" t="n"/>
      <c r="G21" s="17" t="n"/>
      <c r="H21" s="17" t="n"/>
      <c r="I21" s="17" t="n"/>
      <c r="J21" s="18" t="n"/>
      <c r="K21" s="17" t="n"/>
      <c r="L21" s="15" t="n"/>
      <c r="M21" s="15" t="n"/>
    </row>
    <row r="22">
      <c r="A22" s="4" t="n"/>
      <c r="B22" s="10" t="n"/>
      <c r="C22" s="10" t="n"/>
      <c r="D22" s="11" t="n"/>
      <c r="E22" s="12" t="n"/>
      <c r="F22" s="12" t="n"/>
      <c r="G22" s="12" t="n"/>
      <c r="H22" s="12" t="n"/>
      <c r="I22" s="12" t="n"/>
      <c r="J22" s="13" t="n"/>
      <c r="K22" s="12" t="n"/>
      <c r="L22" s="10" t="n"/>
      <c r="M22" s="10" t="n"/>
    </row>
    <row r="23">
      <c r="A23" s="14" t="n"/>
      <c r="B23" s="15" t="n"/>
      <c r="C23" s="15" t="n"/>
      <c r="D23" s="16" t="n"/>
      <c r="E23" s="17" t="n"/>
      <c r="F23" s="17" t="n"/>
      <c r="G23" s="17" t="n"/>
      <c r="H23" s="17" t="n"/>
      <c r="I23" s="17" t="n"/>
      <c r="J23" s="18" t="n"/>
      <c r="K23" s="17" t="n"/>
      <c r="L23" s="15" t="n"/>
      <c r="M23" s="15" t="n"/>
    </row>
    <row r="24">
      <c r="A24" s="4" t="n"/>
      <c r="B24" s="10" t="n"/>
      <c r="C24" s="10" t="n"/>
      <c r="D24" s="11" t="n"/>
      <c r="E24" s="12" t="n"/>
      <c r="F24" s="12" t="n"/>
      <c r="G24" s="12" t="n"/>
      <c r="H24" s="12" t="n"/>
      <c r="I24" s="12" t="n"/>
      <c r="J24" s="13" t="n"/>
      <c r="K24" s="12" t="n"/>
      <c r="L24" s="10" t="n"/>
      <c r="M24" s="10" t="n"/>
    </row>
    <row r="25">
      <c r="A25" s="14" t="n"/>
      <c r="B25" s="15" t="n"/>
      <c r="C25" s="15" t="n"/>
      <c r="D25" s="16" t="n"/>
      <c r="E25" s="17" t="n"/>
      <c r="F25" s="17" t="n"/>
      <c r="G25" s="17" t="n"/>
      <c r="H25" s="17" t="n"/>
      <c r="I25" s="17" t="n"/>
      <c r="J25" s="18" t="n"/>
      <c r="K25" s="17" t="n"/>
      <c r="L25" s="15" t="n"/>
      <c r="M25" s="15" t="n"/>
    </row>
  </sheetData>
  <mergeCells count="2">
    <mergeCell ref="A2:M2"/>
    <mergeCell ref="A1:M1"/>
  </mergeCells>
  <dataValidations count="2">
    <dataValidation sqref="B3:B22" showDropDown="0" showInputMessage="0" showErrorMessage="0" allowBlank="1" errorTitle="Invalid entry" error="Please pick a value from the dropdown" type="list">
      <formula1>"FX Major,FX Minor,FX Exotic,Index CFD,Commodity CFD,Crypto CFD,Stock CFD,Bond CFD"</formula1>
    </dataValidation>
    <dataValidation sqref="M3:M22" showDropDown="0" showInputMessage="0" showErrorMessage="0" allowBlank="1" errorTitle="Invalid entry" error="Please pick a value from the dropdown" type="list">
      <formula1>"Yes,No"</formula1>
    </dataValidation>
  </dataValidations>
  <pageMargins left="0.75" right="0.75" top="1" bottom="1" header="0.5" footer="0.5"/>
  <headerFooter>
    <oddHeader>&amp;L&amp;9 Rey Capital | Smart Investments&amp;C&amp;11 &amp;KC00000CONFIDENTIAL — REY CAPITAL INTERNAL USE ONLY</oddHeader>
    <oddFooter>&amp;C&amp;9 Page &amp;P of &amp;N&amp;R&amp;9 CFD Strategy Intake v1.0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50" customHeight="1"/>
    <row r="2" ht="20" customHeight="1">
      <c r="A2" s="1" t="inlineStr">
        <is>
          <t>CONFIDENTIAL — REY CAPITAL | SMART INVESTMENTS</t>
        </is>
      </c>
    </row>
    <row r="3" ht="6" customHeight="1"/>
    <row r="4">
      <c r="A4" s="2" t="inlineStr">
        <is>
          <t>POSITION SIZING &amp; RISK CALCULATOR</t>
        </is>
      </c>
    </row>
    <row r="5"/>
    <row r="6">
      <c r="A6" s="3" t="inlineStr">
        <is>
          <t>Account Equity (USD)</t>
        </is>
      </c>
      <c r="B6" s="19" t="inlineStr"/>
    </row>
    <row r="7">
      <c r="A7" s="3" t="inlineStr">
        <is>
          <t>Risk per Trade (%)</t>
        </is>
      </c>
      <c r="B7" s="20" t="inlineStr"/>
    </row>
    <row r="8">
      <c r="A8" s="3" t="inlineStr">
        <is>
          <t>Max Concurrent Positions</t>
        </is>
      </c>
      <c r="B8" s="21" t="inlineStr"/>
    </row>
    <row r="9">
      <c r="A9" s="3" t="inlineStr">
        <is>
          <t>Max Daily Loss (%)</t>
        </is>
      </c>
      <c r="B9" s="20" t="inlineStr"/>
    </row>
    <row r="10">
      <c r="A10" s="3" t="inlineStr">
        <is>
          <t>Max Drawdown Tolerance (%)</t>
        </is>
      </c>
      <c r="B10" s="20" t="inlineStr"/>
    </row>
    <row r="11">
      <c r="A11" s="3" t="inlineStr">
        <is>
          <t>Leverage</t>
        </is>
      </c>
      <c r="B11" s="19" t="inlineStr"/>
    </row>
    <row r="12">
      <c r="A12" s="3" t="inlineStr">
        <is>
          <t>Correlation Cap / Cluster</t>
        </is>
      </c>
      <c r="B12" s="21" t="inlineStr"/>
    </row>
    <row r="13" ht="30" customHeight="1"/>
    <row r="14"/>
    <row r="15">
      <c r="A15" s="22" t="inlineStr">
        <is>
          <t>LOT SIZE MATRIX</t>
        </is>
      </c>
    </row>
    <row r="16">
      <c r="A16" s="9" t="inlineStr">
        <is>
          <t>Symbol</t>
        </is>
      </c>
      <c r="B16" s="9" t="inlineStr">
        <is>
          <t>Stop Distance (pips)</t>
        </is>
      </c>
      <c r="C16" s="9" t="inlineStr">
        <is>
          <t>Pip Value (USD/lot)</t>
        </is>
      </c>
      <c r="D16" s="9" t="inlineStr">
        <is>
          <t>Risk $ (calc)</t>
        </is>
      </c>
      <c r="E16" s="9" t="inlineStr">
        <is>
          <t>Lot Size (calc)</t>
        </is>
      </c>
    </row>
    <row r="17">
      <c r="A17" s="23" t="inlineStr"/>
      <c r="B17" s="24" t="inlineStr"/>
      <c r="C17" s="25" t="inlineStr"/>
      <c r="D17" s="26">
        <f>$B$3*$B$4</f>
        <v/>
      </c>
      <c r="E17" s="27">
        <f>IFERROR(D14/(B14*C14),0)</f>
        <v/>
      </c>
    </row>
    <row r="18">
      <c r="A18" s="28" t="inlineStr"/>
      <c r="B18" s="29" t="inlineStr"/>
      <c r="C18" s="30" t="inlineStr"/>
      <c r="D18" s="31">
        <f>$B$3*$B$4</f>
        <v/>
      </c>
      <c r="E18" s="32">
        <f>IFERROR(D15/(B15*C15),0)</f>
        <v/>
      </c>
    </row>
    <row r="19">
      <c r="A19" s="23" t="inlineStr"/>
      <c r="B19" s="24" t="inlineStr"/>
      <c r="C19" s="25" t="inlineStr"/>
      <c r="D19" s="26">
        <f>$B$3*$B$4</f>
        <v/>
      </c>
      <c r="E19" s="27">
        <f>IFERROR(D16/(B16*C16),0)</f>
        <v/>
      </c>
    </row>
    <row r="20">
      <c r="A20" s="28" t="inlineStr"/>
      <c r="B20" s="29" t="inlineStr"/>
      <c r="C20" s="30" t="inlineStr"/>
      <c r="D20" s="31">
        <f>$B$3*$B$4</f>
        <v/>
      </c>
      <c r="E20" s="32">
        <f>IFERROR(D17/(B17*C17),0)</f>
        <v/>
      </c>
    </row>
    <row r="21">
      <c r="A21" s="23" t="inlineStr"/>
      <c r="B21" s="24" t="inlineStr"/>
      <c r="C21" s="25" t="inlineStr"/>
      <c r="D21" s="26">
        <f>$B$3*$B$4</f>
        <v/>
      </c>
      <c r="E21" s="27">
        <f>IFERROR(D18/(B18*C18),0)</f>
        <v/>
      </c>
    </row>
    <row r="22">
      <c r="A22" s="28" t="inlineStr"/>
      <c r="B22" s="29" t="inlineStr"/>
      <c r="C22" s="30" t="inlineStr"/>
      <c r="D22" s="31">
        <f>$B$3*$B$4</f>
        <v/>
      </c>
      <c r="E22" s="32">
        <f>IFERROR(D19/(B19*C19),0)</f>
        <v/>
      </c>
    </row>
    <row r="23">
      <c r="A23" s="23" t="inlineStr"/>
      <c r="B23" s="24" t="inlineStr"/>
      <c r="C23" s="25" t="inlineStr"/>
      <c r="D23" s="26">
        <f>$B$3*$B$4</f>
        <v/>
      </c>
      <c r="E23" s="27">
        <f>IFERROR(D20/(B20*C20),0)</f>
        <v/>
      </c>
    </row>
    <row r="24">
      <c r="A24" s="28" t="inlineStr"/>
      <c r="B24" s="29" t="inlineStr"/>
      <c r="C24" s="30" t="inlineStr"/>
      <c r="D24" s="31">
        <f>$B$3*$B$4</f>
        <v/>
      </c>
      <c r="E24" s="32">
        <f>IFERROR(D21/(B21*C21),0)</f>
        <v/>
      </c>
    </row>
  </sheetData>
  <mergeCells count="2">
    <mergeCell ref="A2:E2"/>
    <mergeCell ref="A1:D1"/>
  </mergeCells>
  <pageMargins left="0.75" right="0.75" top="1" bottom="1" header="0.5" footer="0.5"/>
  <headerFooter>
    <oddHeader>&amp;L&amp;9 Rey Capital | Smart Investments&amp;C&amp;11 &amp;KC00000CONFIDENTIAL — REY CAPITAL INTERNAL USE ONLY</oddHeader>
    <oddFooter>&amp;C&amp;9 Page &amp;P of &amp;N&amp;R&amp;9 CFD Strategy Intake v1.0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8" customWidth="1" min="4" max="4"/>
    <col width="38" customWidth="1" min="5" max="5"/>
    <col width="20" customWidth="1" min="6" max="6"/>
  </cols>
  <sheetData>
    <row r="1" ht="50" customHeight="1"/>
    <row r="2" ht="20" customHeight="1">
      <c r="A2" s="1" t="inlineStr">
        <is>
          <t>CONFIDENTIAL — REY CAPITAL | SMART INVESTMENTS</t>
        </is>
      </c>
    </row>
    <row r="3" ht="6" customHeight="1"/>
    <row r="4">
      <c r="A4" s="2" t="inlineStr">
        <is>
          <t>TRADING SESSIONS</t>
        </is>
      </c>
    </row>
    <row r="5">
      <c r="A5" s="9" t="inlineStr">
        <is>
          <t>Session</t>
        </is>
      </c>
      <c r="B5" s="9" t="inlineStr">
        <is>
          <t>Open (GMT)</t>
        </is>
      </c>
      <c r="C5" s="9" t="inlineStr">
        <is>
          <t>Close (GMT)</t>
        </is>
      </c>
      <c r="D5" s="9" t="inlineStr">
        <is>
          <t>Overlap With</t>
        </is>
      </c>
      <c r="E5" s="9" t="inlineStr">
        <is>
          <t>Best For</t>
        </is>
      </c>
      <c r="F5" s="9" t="inlineStr">
        <is>
          <t>Trade in This Session?</t>
        </is>
      </c>
    </row>
    <row r="6">
      <c r="A6" s="23" t="inlineStr">
        <is>
          <t>Sydney</t>
        </is>
      </c>
      <c r="B6" s="33" t="inlineStr">
        <is>
          <t>21:00</t>
        </is>
      </c>
      <c r="C6" s="33" t="inlineStr">
        <is>
          <t>06:00</t>
        </is>
      </c>
      <c r="D6" s="10" t="inlineStr"/>
      <c r="E6" s="10" t="inlineStr"/>
      <c r="F6" s="10" t="inlineStr"/>
    </row>
    <row r="7">
      <c r="A7" s="28" t="inlineStr">
        <is>
          <t>Tokyo</t>
        </is>
      </c>
      <c r="B7" s="34" t="inlineStr">
        <is>
          <t>00:00</t>
        </is>
      </c>
      <c r="C7" s="34" t="inlineStr">
        <is>
          <t>09:00</t>
        </is>
      </c>
      <c r="D7" s="10" t="inlineStr"/>
      <c r="E7" s="10" t="inlineStr"/>
      <c r="F7" s="10" t="inlineStr"/>
    </row>
    <row r="8">
      <c r="A8" s="23" t="inlineStr">
        <is>
          <t>London</t>
        </is>
      </c>
      <c r="B8" s="33" t="inlineStr">
        <is>
          <t>07:00</t>
        </is>
      </c>
      <c r="C8" s="33" t="inlineStr">
        <is>
          <t>16:00</t>
        </is>
      </c>
      <c r="D8" s="10" t="inlineStr"/>
      <c r="E8" s="10" t="inlineStr"/>
      <c r="F8" s="10" t="inlineStr"/>
    </row>
    <row r="9">
      <c r="A9" s="28" t="inlineStr">
        <is>
          <t>New York</t>
        </is>
      </c>
      <c r="B9" s="34" t="inlineStr">
        <is>
          <t>12:00</t>
        </is>
      </c>
      <c r="C9" s="34" t="inlineStr">
        <is>
          <t>21:00</t>
        </is>
      </c>
      <c r="D9" s="10" t="inlineStr"/>
      <c r="E9" s="10" t="inlineStr"/>
      <c r="F9" s="10" t="inlineStr"/>
    </row>
    <row r="10">
      <c r="A10" s="23" t="inlineStr">
        <is>
          <t>London-NY Overlap</t>
        </is>
      </c>
      <c r="B10" s="33" t="inlineStr">
        <is>
          <t>12:00</t>
        </is>
      </c>
      <c r="C10" s="33" t="inlineStr">
        <is>
          <t>16:00</t>
        </is>
      </c>
      <c r="D10" s="10" t="inlineStr"/>
      <c r="E10" s="10" t="inlineStr"/>
      <c r="F10" s="10" t="inlineStr"/>
    </row>
  </sheetData>
  <mergeCells count="2">
    <mergeCell ref="A2:F2"/>
    <mergeCell ref="A1:F1"/>
  </mergeCells>
  <dataValidations count="1">
    <dataValidation sqref="F3:F7" showDropDown="0" showInputMessage="0" showErrorMessage="0" allowBlank="1" errorTitle="Invalid entry" error="Please pick a value from the dropdown" type="list">
      <formula1>"Yes,No"</formula1>
    </dataValidation>
  </dataValidations>
  <pageMargins left="0.75" right="0.75" top="1" bottom="1" header="0.5" footer="0.5"/>
  <headerFooter>
    <oddHeader>&amp;L&amp;9 Rey Capital | Smart Investments&amp;C&amp;11 &amp;KC00000CONFIDENTIAL — REY CAPITAL INTERNAL USE ONLY</oddHeader>
    <oddFooter>&amp;C&amp;9 Page &amp;P of &amp;N&amp;R&amp;9 CFD Strategy Intake v1.0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15"/>
  <sheetViews>
    <sheetView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2" customWidth="1" min="4" max="4"/>
    <col width="28" customWidth="1" min="5" max="5"/>
    <col width="26" customWidth="1" min="6" max="6"/>
  </cols>
  <sheetData>
    <row r="1" ht="50" customHeight="1"/>
    <row r="2" ht="20" customHeight="1">
      <c r="A2" s="1" t="inlineStr">
        <is>
          <t>CONFIDENTIAL — REY CAPITAL | SMART INVESTMENTS</t>
        </is>
      </c>
    </row>
    <row r="3" ht="6" customHeight="1"/>
    <row r="4">
      <c r="A4" s="2" t="inlineStr">
        <is>
          <t>COST MODEL PER INSTRUMENT</t>
        </is>
      </c>
    </row>
    <row r="5">
      <c r="A5" s="9" t="inlineStr">
        <is>
          <t>Symbol</t>
        </is>
      </c>
      <c r="B5" s="9" t="inlineStr">
        <is>
          <t>Spread Cost (USD/lot)</t>
        </is>
      </c>
      <c r="C5" s="9" t="inlineStr">
        <is>
          <t>Commission (USD/lot)</t>
        </is>
      </c>
      <c r="D5" s="9" t="inlineStr">
        <is>
          <t>Swap/Day (USD/lot)</t>
        </is>
      </c>
      <c r="E5" s="9" t="inlineStr">
        <is>
          <t>Slippage Assumption (pips)</t>
        </is>
      </c>
      <c r="F5" s="9" t="inlineStr">
        <is>
          <t>Total RT Cost (USD/lot)</t>
        </is>
      </c>
    </row>
    <row r="6">
      <c r="A6" s="23" t="inlineStr"/>
      <c r="B6" s="33" t="inlineStr"/>
      <c r="C6" s="33" t="inlineStr"/>
      <c r="D6" s="33" t="inlineStr"/>
      <c r="E6" s="33" t="inlineStr"/>
      <c r="F6" s="25">
        <f>IFERROR(2*B3+2*C3+E3*10,0)</f>
        <v/>
      </c>
    </row>
    <row r="7">
      <c r="A7" s="28" t="inlineStr"/>
      <c r="B7" s="34" t="inlineStr"/>
      <c r="C7" s="34" t="inlineStr"/>
      <c r="D7" s="34" t="inlineStr"/>
      <c r="E7" s="34" t="inlineStr"/>
      <c r="F7" s="30">
        <f>IFERROR(2*B4+2*C4+E4*10,0)</f>
        <v/>
      </c>
    </row>
    <row r="8">
      <c r="A8" s="23" t="inlineStr"/>
      <c r="B8" s="33" t="inlineStr"/>
      <c r="C8" s="33" t="inlineStr"/>
      <c r="D8" s="33" t="inlineStr"/>
      <c r="E8" s="33" t="inlineStr"/>
      <c r="F8" s="25">
        <f>IFERROR(2*B5+2*C5+E5*10,0)</f>
        <v/>
      </c>
    </row>
    <row r="9">
      <c r="A9" s="28" t="inlineStr"/>
      <c r="B9" s="34" t="inlineStr"/>
      <c r="C9" s="34" t="inlineStr"/>
      <c r="D9" s="34" t="inlineStr"/>
      <c r="E9" s="34" t="inlineStr"/>
      <c r="F9" s="30">
        <f>IFERROR(2*B6+2*C6+E6*10,0)</f>
        <v/>
      </c>
    </row>
    <row r="10">
      <c r="A10" s="23" t="inlineStr"/>
      <c r="B10" s="33" t="inlineStr"/>
      <c r="C10" s="33" t="inlineStr"/>
      <c r="D10" s="33" t="inlineStr"/>
      <c r="E10" s="33" t="inlineStr"/>
      <c r="F10" s="25">
        <f>IFERROR(2*B7+2*C7+E7*10,0)</f>
        <v/>
      </c>
    </row>
    <row r="11">
      <c r="A11" s="28" t="inlineStr"/>
      <c r="B11" s="34" t="inlineStr"/>
      <c r="C11" s="34" t="inlineStr"/>
      <c r="D11" s="34" t="inlineStr"/>
      <c r="E11" s="34" t="inlineStr"/>
      <c r="F11" s="30">
        <f>IFERROR(2*B8+2*C8+E8*10,0)</f>
        <v/>
      </c>
    </row>
    <row r="12">
      <c r="A12" s="23" t="inlineStr"/>
      <c r="B12" s="33" t="inlineStr"/>
      <c r="C12" s="33" t="inlineStr"/>
      <c r="D12" s="33" t="inlineStr"/>
      <c r="E12" s="33" t="inlineStr"/>
      <c r="F12" s="25">
        <f>IFERROR(2*B9+2*C9+E9*10,0)</f>
        <v/>
      </c>
    </row>
    <row r="13">
      <c r="A13" s="28" t="inlineStr"/>
      <c r="B13" s="34" t="inlineStr"/>
      <c r="C13" s="34" t="inlineStr"/>
      <c r="D13" s="34" t="inlineStr"/>
      <c r="E13" s="34" t="inlineStr"/>
      <c r="F13" s="30">
        <f>IFERROR(2*B10+2*C10+E10*10,0)</f>
        <v/>
      </c>
    </row>
    <row r="14">
      <c r="A14" s="23" t="inlineStr"/>
      <c r="B14" s="33" t="inlineStr"/>
      <c r="C14" s="33" t="inlineStr"/>
      <c r="D14" s="33" t="inlineStr"/>
      <c r="E14" s="33" t="inlineStr"/>
      <c r="F14" s="25">
        <f>IFERROR(2*B11+2*C11+E11*10,0)</f>
        <v/>
      </c>
    </row>
    <row r="15">
      <c r="A15" s="28" t="inlineStr"/>
      <c r="B15" s="34" t="inlineStr"/>
      <c r="C15" s="34" t="inlineStr"/>
      <c r="D15" s="34" t="inlineStr"/>
      <c r="E15" s="34" t="inlineStr"/>
      <c r="F15" s="30">
        <f>IFERROR(2*B12+2*C12+E12*10,0)</f>
        <v/>
      </c>
    </row>
  </sheetData>
  <mergeCells count="2">
    <mergeCell ref="A2:F2"/>
    <mergeCell ref="A1:F1"/>
  </mergeCells>
  <pageMargins left="0.75" right="0.75" top="1" bottom="1" header="0.5" footer="0.5"/>
  <headerFooter>
    <oddHeader>&amp;L&amp;9 Rey Capital | Smart Investments&amp;C&amp;11 &amp;KC00000CONFIDENTIAL — REY CAPITAL INTERNAL USE ONLY</oddHeader>
    <oddFooter>&amp;C&amp;9 Page &amp;P of &amp;N&amp;R&amp;9 CFD Strategy Intake v1.0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K15"/>
  <sheetViews>
    <sheetView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6" customWidth="1" min="11" max="11"/>
  </cols>
  <sheetData>
    <row r="1" ht="50" customHeight="1"/>
    <row r="2" ht="20" customHeight="1">
      <c r="A2" s="1" t="inlineStr">
        <is>
          <t>CONFIDENTIAL — REY CAPITAL | SMART INVESTMENTS</t>
        </is>
      </c>
    </row>
    <row r="3" ht="6" customHeight="1"/>
    <row r="4">
      <c r="A4" s="2" t="inlineStr">
        <is>
          <t>BACKTEST METRICS (TRADER-PROVIDED)</t>
        </is>
      </c>
    </row>
    <row r="5">
      <c r="A5" s="9" t="inlineStr">
        <is>
          <t>Symbol</t>
        </is>
      </c>
      <c r="B5" s="9" t="inlineStr">
        <is>
          <t>Period</t>
        </is>
      </c>
      <c r="C5" s="9" t="inlineStr">
        <is>
          <t># Trades</t>
        </is>
      </c>
      <c r="D5" s="9" t="inlineStr">
        <is>
          <t>Win Rate</t>
        </is>
      </c>
      <c r="E5" s="9" t="inlineStr">
        <is>
          <t>Avg R:R</t>
        </is>
      </c>
      <c r="F5" s="9" t="inlineStr">
        <is>
          <t>Sharpe</t>
        </is>
      </c>
      <c r="G5" s="9" t="inlineStr">
        <is>
          <t>Sortino</t>
        </is>
      </c>
      <c r="H5" s="9" t="inlineStr">
        <is>
          <t>Max DD</t>
        </is>
      </c>
      <c r="I5" s="9" t="inlineStr">
        <is>
          <t>CAGR</t>
        </is>
      </c>
      <c r="J5" s="9" t="inlineStr">
        <is>
          <t>Profit Factor</t>
        </is>
      </c>
      <c r="K5" s="9" t="inlineStr">
        <is>
          <t>Net PnL (USD)</t>
        </is>
      </c>
    </row>
    <row r="6">
      <c r="A6" s="23" t="inlineStr"/>
      <c r="B6" s="33" t="inlineStr"/>
      <c r="C6" s="24" t="inlineStr"/>
      <c r="D6" s="35" t="inlineStr"/>
      <c r="E6" s="27" t="inlineStr"/>
      <c r="F6" s="27" t="inlineStr"/>
      <c r="G6" s="27" t="inlineStr"/>
      <c r="H6" s="35" t="inlineStr"/>
      <c r="I6" s="35" t="inlineStr"/>
      <c r="J6" s="27" t="inlineStr"/>
      <c r="K6" s="36" t="inlineStr"/>
    </row>
    <row r="7">
      <c r="A7" s="28" t="inlineStr"/>
      <c r="B7" s="34" t="inlineStr"/>
      <c r="C7" s="29" t="inlineStr"/>
      <c r="D7" s="37" t="inlineStr"/>
      <c r="E7" s="32" t="inlineStr"/>
      <c r="F7" s="32" t="inlineStr"/>
      <c r="G7" s="32" t="inlineStr"/>
      <c r="H7" s="37" t="inlineStr"/>
      <c r="I7" s="37" t="inlineStr"/>
      <c r="J7" s="32" t="inlineStr"/>
      <c r="K7" s="38" t="inlineStr"/>
    </row>
    <row r="8">
      <c r="A8" s="23" t="inlineStr"/>
      <c r="B8" s="33" t="inlineStr"/>
      <c r="C8" s="24" t="inlineStr"/>
      <c r="D8" s="35" t="inlineStr"/>
      <c r="E8" s="27" t="inlineStr"/>
      <c r="F8" s="27" t="inlineStr"/>
      <c r="G8" s="27" t="inlineStr"/>
      <c r="H8" s="35" t="inlineStr"/>
      <c r="I8" s="35" t="inlineStr"/>
      <c r="J8" s="27" t="inlineStr"/>
      <c r="K8" s="36" t="inlineStr"/>
    </row>
    <row r="9">
      <c r="A9" s="28" t="inlineStr"/>
      <c r="B9" s="34" t="inlineStr"/>
      <c r="C9" s="29" t="inlineStr"/>
      <c r="D9" s="37" t="inlineStr"/>
      <c r="E9" s="32" t="inlineStr"/>
      <c r="F9" s="32" t="inlineStr"/>
      <c r="G9" s="32" t="inlineStr"/>
      <c r="H9" s="37" t="inlineStr"/>
      <c r="I9" s="37" t="inlineStr"/>
      <c r="J9" s="32" t="inlineStr"/>
      <c r="K9" s="38" t="inlineStr"/>
    </row>
    <row r="10">
      <c r="A10" s="23" t="inlineStr"/>
      <c r="B10" s="33" t="inlineStr"/>
      <c r="C10" s="24" t="inlineStr"/>
      <c r="D10" s="35" t="inlineStr"/>
      <c r="E10" s="27" t="inlineStr"/>
      <c r="F10" s="27" t="inlineStr"/>
      <c r="G10" s="27" t="inlineStr"/>
      <c r="H10" s="35" t="inlineStr"/>
      <c r="I10" s="35" t="inlineStr"/>
      <c r="J10" s="27" t="inlineStr"/>
      <c r="K10" s="36" t="inlineStr"/>
    </row>
    <row r="11">
      <c r="A11" s="28" t="inlineStr"/>
      <c r="B11" s="34" t="inlineStr"/>
      <c r="C11" s="29" t="inlineStr"/>
      <c r="D11" s="37" t="inlineStr"/>
      <c r="E11" s="32" t="inlineStr"/>
      <c r="F11" s="32" t="inlineStr"/>
      <c r="G11" s="32" t="inlineStr"/>
      <c r="H11" s="37" t="inlineStr"/>
      <c r="I11" s="37" t="inlineStr"/>
      <c r="J11" s="32" t="inlineStr"/>
      <c r="K11" s="38" t="inlineStr"/>
    </row>
    <row r="12">
      <c r="A12" s="23" t="inlineStr"/>
      <c r="B12" s="33" t="inlineStr"/>
      <c r="C12" s="24" t="inlineStr"/>
      <c r="D12" s="35" t="inlineStr"/>
      <c r="E12" s="27" t="inlineStr"/>
      <c r="F12" s="27" t="inlineStr"/>
      <c r="G12" s="27" t="inlineStr"/>
      <c r="H12" s="35" t="inlineStr"/>
      <c r="I12" s="35" t="inlineStr"/>
      <c r="J12" s="27" t="inlineStr"/>
      <c r="K12" s="36" t="inlineStr"/>
    </row>
    <row r="13">
      <c r="A13" s="28" t="inlineStr"/>
      <c r="B13" s="34" t="inlineStr"/>
      <c r="C13" s="29" t="inlineStr"/>
      <c r="D13" s="37" t="inlineStr"/>
      <c r="E13" s="32" t="inlineStr"/>
      <c r="F13" s="32" t="inlineStr"/>
      <c r="G13" s="32" t="inlineStr"/>
      <c r="H13" s="37" t="inlineStr"/>
      <c r="I13" s="37" t="inlineStr"/>
      <c r="J13" s="32" t="inlineStr"/>
      <c r="K13" s="38" t="inlineStr"/>
    </row>
    <row r="14">
      <c r="A14" s="23" t="inlineStr"/>
      <c r="B14" s="33" t="inlineStr"/>
      <c r="C14" s="24" t="inlineStr"/>
      <c r="D14" s="35" t="inlineStr"/>
      <c r="E14" s="27" t="inlineStr"/>
      <c r="F14" s="27" t="inlineStr"/>
      <c r="G14" s="27" t="inlineStr"/>
      <c r="H14" s="35" t="inlineStr"/>
      <c r="I14" s="35" t="inlineStr"/>
      <c r="J14" s="27" t="inlineStr"/>
      <c r="K14" s="36" t="inlineStr"/>
    </row>
    <row r="15">
      <c r="A15" s="28" t="inlineStr"/>
      <c r="B15" s="34" t="inlineStr"/>
      <c r="C15" s="29" t="inlineStr"/>
      <c r="D15" s="37" t="inlineStr"/>
      <c r="E15" s="32" t="inlineStr"/>
      <c r="F15" s="32" t="inlineStr"/>
      <c r="G15" s="32" t="inlineStr"/>
      <c r="H15" s="37" t="inlineStr"/>
      <c r="I15" s="37" t="inlineStr"/>
      <c r="J15" s="32" t="inlineStr"/>
      <c r="K15" s="38" t="inlineStr"/>
    </row>
  </sheetData>
  <mergeCells count="2">
    <mergeCell ref="A2:K2"/>
    <mergeCell ref="A1:K1"/>
  </mergeCells>
  <pageMargins left="0.75" right="0.75" top="1" bottom="1" header="0.5" footer="0.5"/>
  <headerFooter>
    <oddHeader>&amp;L&amp;9 Rey Capital | Smart Investments&amp;C&amp;11 &amp;KC00000CONFIDENTIAL — REY CAPITAL INTERNAL USE ONLY</oddHeader>
    <oddFooter>&amp;C&amp;9 Page &amp;P of &amp;N&amp;R&amp;9 CFD Strategy Intake v1.0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Rey Capital</dc:creator>
  <dc:title xmlns:dc="http://purl.org/dc/elements/1.1/">CFD Strategy Intake — Rey Capital</dc:title>
  <dc:description xmlns:dc="http://purl.org/dc/elements/1.1/">Confidential — Rey Capital internal strategy intake document.</dc:description>
  <dcterms:created xmlns:dcterms="http://purl.org/dc/terms/" xmlns:xsi="http://www.w3.org/2001/XMLSchema-instance" xsi:type="dcterms:W3CDTF">2026-04-20T12:04:09Z</dcterms:created>
  <dcterms:modified xmlns:dcterms="http://purl.org/dc/terms/" xmlns:xsi="http://www.w3.org/2001/XMLSchema-instance" xsi:type="dcterms:W3CDTF">2026-04-20T12:04:09Z</dcterms:modified>
  <cp:keywords>CONFIDENTIAL, CFD, Strategy, Rey Capital, DHRUVA</cp:keywords>
</cp:coreProperties>
</file>